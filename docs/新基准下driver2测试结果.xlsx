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<sst xmlns="http://schemas.openxmlformats.org/spreadsheetml/2006/main" count="14" uniqueCount="10">
  <si>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UNDER DEFAULT CONFIG</t>
  </si>
  <si>
    <t>UNDER FOUND COMNFIG</t>
  </si>
  <si>
    <t>CLICK</t>
  </si>
  <si>
    <t>AFTER</t>
  </si>
  <si>
    <t>TOTAL</t>
  </si>
  <si>
    <t>SORTED</t>
  </si>
  <si>
    <t>AVERAGE</t>
  </si>
  <si>
    <t>TRIMMEAN</t>
  </si>
  <si>
    <t>IMPROVEMENT</t>
  </si>
  <si>
    <t>found config: --js-flags=--expose-gc --no-turbo-inlining --compact-on-every-full-gc --max-optimized-bytecode-size=111103 --max-inlined-bytecode-size=390 --invocation-count-for-maglev=446 --invocation-count-for-turbofan=4353 --min-semi-space-size=7 --stack-size=1368 --baseline-batch-compilation-threshold=7182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</si>
</sst>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tabSelected="1" workbookViewId="0">
      <selection activeCell="I11" sqref="I11"/>
    </sheetView>
  </sheetViews>
  <sheetFormatPr defaultColWidth="9" defaultRowHeight="14"/>
  <cols>
    <col min="1" max="1" width="14.1090909090909" customWidth="1"/>
    <col min="10" max="10" width="12.8909090909091"/>
    <col min="13" max="13" width="13.3363636363636" customWidth="1"/>
  </cols>
  <sheetData>
    <row r="1" spans="3:11">
      <c r="C1" s="1" t="s">
        <v>0</v>
      </c>
      <c r="D1" s="2"/>
      <c r="E1" s="2"/>
      <c r="F1" s="2"/>
      <c r="H1" s="1" t="s">
        <v>1</v>
      </c>
      <c r="I1" s="2"/>
      <c r="J1" s="2"/>
      <c r="K1" s="2"/>
    </row>
    <row r="2" spans="3:13"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2</v>
      </c>
      <c r="I2" s="1" t="s">
        <v>3</v>
      </c>
      <c r="J2" s="1" t="s">
        <v>4</v>
      </c>
      <c r="K2" s="1" t="s">
        <v>5</v>
      </c>
      <c r="M2" s="1"/>
    </row>
    <row r="3" spans="3:11">
      <c r="C3" s="2">
        <v>28.9</v>
      </c>
      <c r="D3" s="2">
        <v>40.8</v>
      </c>
      <c r="E3" s="2">
        <f>C3+D3</f>
        <v>69.7</v>
      </c>
      <c r="F3" s="3">
        <f>D4+C4</f>
        <v>68.1</v>
      </c>
      <c r="G3" s="2"/>
      <c r="H3" s="2">
        <v>29.9</v>
      </c>
      <c r="I3" s="2">
        <v>44.2</v>
      </c>
      <c r="J3" s="2">
        <f t="shared" ref="J3:J12" si="0">H3+I3</f>
        <v>74.1</v>
      </c>
      <c r="K3" s="3">
        <f>I5+H5</f>
        <v>68.6</v>
      </c>
    </row>
    <row r="4" spans="3:11">
      <c r="C4" s="2">
        <v>27.1</v>
      </c>
      <c r="D4" s="2">
        <v>41</v>
      </c>
      <c r="E4" s="2">
        <f t="shared" ref="E4:E12" si="1">C4+D4</f>
        <v>68.1</v>
      </c>
      <c r="F4" s="3">
        <f>D3+C3</f>
        <v>69.7</v>
      </c>
      <c r="G4" s="2"/>
      <c r="H4" s="2">
        <v>31.5</v>
      </c>
      <c r="I4" s="2">
        <v>41.2</v>
      </c>
      <c r="J4" s="2">
        <f t="shared" si="0"/>
        <v>72.7</v>
      </c>
      <c r="K4" s="3">
        <f>I10+H10</f>
        <v>69.6</v>
      </c>
    </row>
    <row r="5" spans="3:11">
      <c r="C5" s="2">
        <v>28.5</v>
      </c>
      <c r="D5" s="2">
        <v>44</v>
      </c>
      <c r="E5" s="2">
        <f t="shared" si="1"/>
        <v>72.5</v>
      </c>
      <c r="F5" s="4">
        <f>D6+C6</f>
        <v>70.6</v>
      </c>
      <c r="G5" s="2"/>
      <c r="H5" s="2">
        <v>28</v>
      </c>
      <c r="I5" s="2">
        <v>40.6</v>
      </c>
      <c r="J5" s="2">
        <f t="shared" si="0"/>
        <v>68.6</v>
      </c>
      <c r="K5" s="4">
        <f>I9+H9</f>
        <v>69.8</v>
      </c>
    </row>
    <row r="6" spans="3:11">
      <c r="C6" s="2">
        <v>28.4</v>
      </c>
      <c r="D6" s="2">
        <v>42.2</v>
      </c>
      <c r="E6" s="2">
        <f t="shared" si="1"/>
        <v>70.6</v>
      </c>
      <c r="F6" s="4">
        <f>D5+C5</f>
        <v>72.5</v>
      </c>
      <c r="G6" s="2"/>
      <c r="H6" s="2">
        <v>28.8</v>
      </c>
      <c r="I6" s="2">
        <v>42.2</v>
      </c>
      <c r="J6" s="2">
        <f t="shared" si="0"/>
        <v>71</v>
      </c>
      <c r="K6" s="4">
        <f>I8+H8</f>
        <v>70.7</v>
      </c>
    </row>
    <row r="7" spans="3:11">
      <c r="C7" s="2">
        <v>28.9</v>
      </c>
      <c r="D7" s="2">
        <v>46.6</v>
      </c>
      <c r="E7" s="2">
        <f t="shared" si="1"/>
        <v>75.5</v>
      </c>
      <c r="F7" s="4">
        <f>D11+C11</f>
        <v>73</v>
      </c>
      <c r="G7" s="2"/>
      <c r="H7" s="2">
        <v>28.4</v>
      </c>
      <c r="I7" s="2">
        <v>44.7</v>
      </c>
      <c r="J7" s="2">
        <f t="shared" si="0"/>
        <v>73.1</v>
      </c>
      <c r="K7" s="4">
        <f>I6+H6</f>
        <v>71</v>
      </c>
    </row>
    <row r="8" spans="3:11">
      <c r="C8" s="2">
        <v>29.1</v>
      </c>
      <c r="D8" s="2">
        <v>48</v>
      </c>
      <c r="E8" s="2">
        <f t="shared" si="1"/>
        <v>77.1</v>
      </c>
      <c r="F8" s="4">
        <f>D10+C10</f>
        <v>73.5</v>
      </c>
      <c r="G8" s="2"/>
      <c r="H8" s="2">
        <v>28.4</v>
      </c>
      <c r="I8" s="2">
        <v>42.3</v>
      </c>
      <c r="J8" s="2">
        <f t="shared" si="0"/>
        <v>70.7</v>
      </c>
      <c r="K8" s="4">
        <f>I12+H12</f>
        <v>72.4</v>
      </c>
    </row>
    <row r="9" spans="3:11">
      <c r="C9" s="2">
        <v>29.6</v>
      </c>
      <c r="D9" s="2">
        <v>53.7</v>
      </c>
      <c r="E9" s="2">
        <f t="shared" si="1"/>
        <v>83.3</v>
      </c>
      <c r="F9" s="4">
        <f>D7+C7</f>
        <v>75.5</v>
      </c>
      <c r="G9" s="2"/>
      <c r="H9" s="2">
        <v>29.4</v>
      </c>
      <c r="I9" s="2">
        <v>40.4</v>
      </c>
      <c r="J9" s="2">
        <f t="shared" si="0"/>
        <v>69.8</v>
      </c>
      <c r="K9" s="4">
        <f>I4+H4</f>
        <v>72.7</v>
      </c>
    </row>
    <row r="10" spans="3:11">
      <c r="C10" s="2">
        <v>29.6</v>
      </c>
      <c r="D10" s="2">
        <v>43.9</v>
      </c>
      <c r="E10" s="2">
        <f t="shared" si="1"/>
        <v>73.5</v>
      </c>
      <c r="F10" s="4">
        <f>D8+C8</f>
        <v>77.1</v>
      </c>
      <c r="G10" s="2"/>
      <c r="H10" s="2">
        <v>29.1</v>
      </c>
      <c r="I10" s="2">
        <v>40.5</v>
      </c>
      <c r="J10" s="2">
        <f t="shared" si="0"/>
        <v>69.6</v>
      </c>
      <c r="K10" s="4">
        <f>I7+H7</f>
        <v>73.1</v>
      </c>
    </row>
    <row r="11" spans="3:11">
      <c r="C11" s="2">
        <v>29.8</v>
      </c>
      <c r="D11" s="2">
        <v>43.2</v>
      </c>
      <c r="E11" s="2">
        <f t="shared" si="1"/>
        <v>73</v>
      </c>
      <c r="F11" s="3">
        <f>D12+C12</f>
        <v>77.7</v>
      </c>
      <c r="G11" s="2"/>
      <c r="H11" s="2">
        <v>28.2</v>
      </c>
      <c r="I11" s="2">
        <v>48.3</v>
      </c>
      <c r="J11" s="2">
        <f t="shared" si="0"/>
        <v>76.5</v>
      </c>
      <c r="K11" s="3">
        <f>I3+H3</f>
        <v>74.1</v>
      </c>
    </row>
    <row r="12" spans="3:11">
      <c r="C12" s="2">
        <v>30</v>
      </c>
      <c r="D12" s="2">
        <v>47.7</v>
      </c>
      <c r="E12" s="2">
        <f t="shared" si="1"/>
        <v>77.7</v>
      </c>
      <c r="F12" s="3">
        <f>D9+C9</f>
        <v>83.3</v>
      </c>
      <c r="G12" s="2"/>
      <c r="H12" s="2">
        <v>28.3</v>
      </c>
      <c r="I12" s="2">
        <v>44.1</v>
      </c>
      <c r="J12" s="2">
        <f t="shared" si="0"/>
        <v>72.4</v>
      </c>
      <c r="K12" s="3">
        <f>I11+H11</f>
        <v>76.5</v>
      </c>
    </row>
    <row r="13" spans="1:10">
      <c r="A13" s="1" t="s">
        <v>6</v>
      </c>
      <c r="C13" s="1">
        <f t="shared" ref="C13:J13" si="2">AVERAGE(C3:C12)</f>
        <v>28.99</v>
      </c>
      <c r="D13" s="1">
        <f t="shared" si="2"/>
        <v>45.11</v>
      </c>
      <c r="E13" s="1">
        <f t="shared" si="2"/>
        <v>74.1</v>
      </c>
      <c r="G13" s="2"/>
      <c r="H13" s="1">
        <f t="shared" si="2"/>
        <v>29</v>
      </c>
      <c r="I13" s="1">
        <f t="shared" si="2"/>
        <v>42.85</v>
      </c>
      <c r="J13" s="1">
        <f t="shared" si="2"/>
        <v>71.85</v>
      </c>
    </row>
    <row r="14" spans="1:11">
      <c r="A14" s="1" t="s">
        <v>7</v>
      </c>
      <c r="B14" s="2"/>
      <c r="C14" s="2"/>
      <c r="D14" s="2"/>
      <c r="E14" s="2"/>
      <c r="F14" s="1">
        <f>AVERAGE(F5:F10)</f>
        <v>73.7</v>
      </c>
      <c r="G14" s="2"/>
      <c r="H14" s="2"/>
      <c r="I14" s="2"/>
      <c r="J14" s="2"/>
      <c r="K14" s="1">
        <v>71.62</v>
      </c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1" t="s">
        <v>8</v>
      </c>
      <c r="B17" s="2"/>
      <c r="C17" s="5">
        <v>-0.0003</v>
      </c>
      <c r="D17" s="5">
        <v>0.0501</v>
      </c>
      <c r="E17" s="5">
        <v>0.0304</v>
      </c>
      <c r="F17" s="5">
        <v>0.0282</v>
      </c>
      <c r="G17" s="2"/>
      <c r="H17" s="2"/>
      <c r="I17" s="2"/>
      <c r="J17" s="2"/>
      <c r="K17" s="2"/>
    </row>
    <row r="19" spans="1:1">
      <c r="A19" t="s">
        <v>9</v>
      </c>
    </row>
  </sheetData>
  <sortState ref="K3:K12">
    <sortCondition ref="K3"/>
  </sortState>
  <mergeCells count="3">
    <mergeCell ref="C1:F1"/>
    <mergeCell ref="H1:K1"/>
    <mergeCell ref="A19:AG19"/>
  </mergeCells>
  <pageMargins left="0.7" right="0.7" top="0.75" bottom="0.75" header="0.3" footer="0.3"/>
  <pageSetup paperSize="9" orientation="portrait"/>
  <headerFooter/>
  <ignoredErrors>
    <ignoredError sqref="G17:K17 A12:K16 J11:K11 A11:H11 A2:K10 I1:K1 D1:G1 A1:B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WPS_1693912866</cp:lastModifiedBy>
  <dcterms:created xsi:type="dcterms:W3CDTF">2023-05-12T11:15:00Z</dcterms:created>
  <dcterms:modified xsi:type="dcterms:W3CDTF">2025-09-25T08:23:38Z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F3D7B368A0F64A05857592117EDC2C30_13</vt:lpwstr>
  </property>
</Properties>
</file>